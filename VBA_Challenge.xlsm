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23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joshuaallen/Documents/Boot_Camp/UCB_Projects/stock-analysis/"/>
    </mc:Choice>
  </mc:AlternateContent>
  <xr:revisionPtr revIDLastSave="0" documentId="13_ncr:1_{DEEC3EEA-2763-0B41-8AD2-6E15425A84E0}" xr6:coauthVersionLast="46" xr6:coauthVersionMax="46" xr10:uidLastSave="{00000000-0000-0000-0000-000000000000}"/>
  <bookViews>
    <workbookView xWindow="35840" yWindow="500" windowWidth="31760" windowHeight="28300" activeTab="5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kill Drill" sheetId="5" r:id="rId5"/>
    <sheet name="2 year results" sheetId="6" r:id="rId6"/>
  </sheets>
  <calcPr calcId="191029"/>
</workbook>
</file>

<file path=xl/calcChain.xml><?xml version="1.0" encoding="utf-8"?>
<calcChain xmlns="http://schemas.openxmlformats.org/spreadsheetml/2006/main">
  <c r="E13" i="6" l="1"/>
  <c r="F13" i="6" s="1"/>
  <c r="C13" i="6"/>
  <c r="C12" i="6"/>
  <c r="E12" i="6" s="1"/>
  <c r="F12" i="6" s="1"/>
  <c r="C11" i="6"/>
  <c r="E11" i="6" s="1"/>
  <c r="F11" i="6" s="1"/>
  <c r="C10" i="6"/>
  <c r="E10" i="6" s="1"/>
  <c r="F10" i="6" s="1"/>
  <c r="C9" i="6"/>
  <c r="E9" i="6" s="1"/>
  <c r="F9" i="6" s="1"/>
  <c r="C8" i="6"/>
  <c r="E8" i="6" s="1"/>
  <c r="F8" i="6" s="1"/>
  <c r="C7" i="6"/>
  <c r="E7" i="6" s="1"/>
  <c r="F7" i="6" s="1"/>
  <c r="C6" i="6"/>
  <c r="E6" i="6" s="1"/>
  <c r="F6" i="6" s="1"/>
  <c r="C5" i="6"/>
  <c r="E5" i="6" s="1"/>
  <c r="F5" i="6" s="1"/>
  <c r="C4" i="6"/>
  <c r="E4" i="6" s="1"/>
  <c r="F4" i="6" s="1"/>
  <c r="E3" i="6"/>
  <c r="F3" i="6" s="1"/>
  <c r="C3" i="6"/>
  <c r="F2" i="6"/>
  <c r="E2" i="6"/>
  <c r="C2" i="6"/>
</calcChain>
</file>

<file path=xl/sharedStrings.xml><?xml version="1.0" encoding="utf-8"?>
<sst xmlns="http://schemas.openxmlformats.org/spreadsheetml/2006/main" count="12116" uniqueCount="534">
  <si>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</si>
  <si>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</si>
  <si>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</si>
  <si>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</si>
  <si>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</si>
  <si>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</si>
  <si>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</si>
  <si>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</si>
  <si>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</si>
  <si>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</si>
  <si>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</si>
  <si>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</si>
  <si>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</si>
  <si>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</si>
  <si>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</si>
  <si>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</si>
  <si>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</si>
  <si>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</si>
  <si>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</si>
  <si>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</si>
  <si>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</si>
  <si>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</si>
  <si>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</si>
  <si>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</si>
  <si>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</si>
  <si>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</si>
  <si>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</si>
  <si>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</si>
  <si>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</si>
  <si>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</si>
  <si>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</si>
  <si>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</si>
  <si>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</si>
  <si>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</si>
  <si>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</si>
  <si>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</si>
  <si>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</si>
  <si>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</si>
  <si>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</si>
  <si>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</si>
  <si>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</si>
  <si>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</si>
  <si>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</si>
  <si>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</si>
  <si>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</si>
  <si>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</si>
  <si>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</si>
  <si>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</si>
  <si>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</si>
  <si>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</si>
  <si>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</si>
  <si>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</si>
  <si>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</si>
  <si>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</si>
  <si>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</si>
  <si>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</si>
  <si>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</si>
  <si>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</si>
  <si>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</si>
  <si>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</si>
  <si>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</si>
  <si>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</si>
  <si>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</si>
  <si>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</si>
  <si>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</si>
  <si>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</si>
  <si>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</si>
  <si>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</si>
  <si>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</si>
  <si>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</si>
  <si>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</si>
  <si>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</si>
  <si>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</si>
  <si>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</si>
  <si>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</si>
  <si>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</si>
  <si>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</si>
  <si>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</si>
  <si>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</si>
  <si>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</si>
  <si>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</si>
  <si>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</si>
  <si>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</si>
  <si>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</si>
  <si>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</si>
  <si>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</si>
  <si>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</si>
  <si>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</si>
  <si>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</si>
  <si>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</si>
  <si>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</si>
  <si>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</si>
  <si>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</si>
  <si>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</si>
  <si>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</si>
  <si>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</si>
  <si>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</si>
  <si>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</si>
  <si>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</si>
  <si>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</si>
  <si>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</si>
  <si>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</si>
  <si>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</si>
  <si>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</si>
  <si>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</si>
  <si>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</si>
  <si>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</si>
  <si>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</si>
  <si>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</si>
  <si>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</si>
  <si>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</si>
  <si>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</si>
  <si>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</si>
  <si>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</si>
  <si>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</si>
  <si>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</si>
  <si>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</si>
  <si>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</si>
  <si>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</si>
  <si>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</si>
  <si>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</si>
  <si>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</si>
  <si>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</si>
  <si>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</si>
  <si>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</si>
  <si>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</si>
  <si>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</si>
  <si>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</si>
  <si>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</si>
  <si>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</si>
  <si>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</si>
  <si>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</si>
  <si>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</si>
  <si>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</si>
  <si>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</si>
  <si>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</si>
  <si>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</si>
  <si>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</si>
  <si>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</si>
  <si>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</si>
  <si>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</si>
  <si>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</si>
  <si>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</si>
  <si>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</si>
  <si>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</si>
  <si>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</si>
  <si>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</si>
  <si>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</si>
  <si>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</si>
  <si>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</si>
  <si>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</si>
  <si>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</si>
  <si>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</si>
  <si>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</si>
  <si>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</si>
  <si>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</si>
  <si>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</si>
  <si>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</si>
  <si>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</si>
  <si>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</si>
  <si>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</si>
  <si>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</si>
  <si>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</si>
  <si>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</si>
  <si>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</si>
  <si>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</si>
  <si>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</si>
  <si>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</si>
  <si>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</si>
  <si>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</si>
  <si>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</si>
  <si>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</si>
  <si>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</si>
  <si>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</si>
  <si>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</si>
  <si>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</si>
  <si>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</si>
  <si>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</si>
  <si>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</si>
  <si>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</si>
  <si>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</si>
  <si>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</si>
  <si>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</si>
  <si>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</si>
  <si>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</si>
  <si>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</si>
  <si>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</si>
  <si>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</si>
  <si>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</si>
  <si>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</si>
  <si>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</si>
  <si>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</si>
  <si>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</si>
  <si>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</si>
  <si>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</si>
  <si>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</si>
  <si>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</si>
  <si>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</si>
  <si>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</si>
  <si>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</si>
  <si>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</si>
  <si>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</si>
  <si>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</si>
  <si>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</si>
  <si>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</si>
  <si>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</si>
  <si>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</si>
  <si>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</si>
  <si>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</si>
  <si>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</si>
  <si>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</si>
  <si>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</si>
  <si>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</si>
  <si>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</si>
  <si>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</si>
  <si>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</si>
  <si>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</si>
  <si>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</si>
  <si>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</si>
  <si>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</si>
  <si>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</si>
  <si>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</si>
  <si>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</si>
  <si>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</si>
  <si>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</si>
  <si>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</si>
  <si>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</si>
  <si>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</si>
  <si>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</si>
  <si>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</si>
  <si>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</si>
  <si>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</si>
  <si>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</si>
  <si>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</si>
  <si>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</si>
  <si>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</si>
  <si>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</si>
  <si>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</si>
  <si>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</si>
  <si>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</si>
  <si>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</si>
  <si>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</si>
  <si>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</si>
  <si>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</si>
  <si>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</si>
  <si>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</si>
  <si>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</si>
  <si>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</si>
  <si>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</si>
  <si>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</si>
  <si>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</si>
  <si>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</si>
  <si>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</si>
  <si>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</si>
  <si>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</si>
  <si>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</si>
  <si>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</si>
  <si>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</si>
  <si>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</si>
  <si>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</si>
  <si>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</si>
  <si>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</si>
  <si>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</si>
  <si>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</si>
  <si>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</si>
  <si>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</si>
  <si>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</si>
  <si>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</si>
  <si>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</si>
  <si>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</si>
  <si>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</si>
  <si>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</si>
  <si>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</si>
  <si>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</si>
  <si>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</si>
  <si>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</si>
  <si>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</si>
  <si>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</si>
  <si>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</si>
  <si>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</si>
  <si>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</si>
  <si>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</si>
  <si>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</si>
  <si>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</si>
  <si>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</si>
  <si>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</si>
  <si>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</si>
  <si>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</si>
  <si>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</si>
  <si>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</si>
  <si>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</si>
  <si>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</si>
  <si>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</si>
  <si>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</si>
  <si>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</si>
  <si>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</si>
  <si>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</si>
  <si>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</si>
  <si>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</si>
  <si>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</si>
  <si>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</si>
  <si>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</si>
  <si>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</si>
  <si>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</si>
  <si>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</si>
  <si>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</si>
  <si>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</si>
  <si>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</si>
  <si>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</si>
  <si>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</si>
  <si>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</si>
  <si>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</si>
  <si>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</si>
  <si>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</si>
  <si>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</si>
  <si>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</si>
  <si>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</si>
  <si>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</si>
  <si>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</si>
  <si>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</si>
  <si>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</si>
  <si>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</si>
  <si>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</si>
  <si>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</si>
  <si>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</si>
  <si>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</si>
  <si>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</si>
  <si>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</si>
  <si>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</si>
  <si>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</si>
  <si>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</si>
  <si>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</si>
  <si>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</si>
  <si>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</si>
  <si>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</si>
  <si>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</si>
  <si>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</si>
  <si>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</si>
  <si>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</si>
  <si>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</si>
  <si>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</si>
  <si>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</si>
  <si>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</si>
  <si>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</si>
  <si>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</si>
  <si>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</si>
  <si>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</si>
  <si>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</si>
  <si>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</si>
  <si>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</si>
  <si>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</si>
  <si>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</si>
  <si>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</si>
  <si>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</si>
  <si>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</si>
  <si>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</si>
  <si>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</si>
  <si>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</si>
  <si>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</si>
  <si>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</si>
  <si>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</si>
  <si>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</si>
  <si>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</si>
  <si>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</si>
  <si>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</si>
  <si>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</si>
  <si>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</si>
  <si>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</si>
  <si>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</si>
  <si>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</si>
  <si>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</si>
  <si>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</si>
  <si>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</si>
  <si>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</si>
  <si>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</si>
  <si>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</si>
  <si>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</si>
  <si>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</si>
  <si>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</si>
  <si>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</si>
  <si>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</si>
  <si>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</si>
  <si>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</si>
  <si>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</si>
  <si>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</si>
  <si>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</si>
  <si>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</si>
  <si>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</si>
  <si>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</si>
  <si>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</si>
  <si>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</si>
  <si>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</si>
  <si>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</si>
  <si>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</si>
  <si>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</si>
  <si>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</si>
  <si>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</si>
  <si>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</si>
  <si>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</si>
  <si>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</si>
  <si>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</si>
  <si>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</si>
  <si>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</si>
  <si>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</si>
  <si>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</si>
  <si>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</si>
  <si>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</si>
  <si>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</si>
  <si>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</si>
  <si>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</si>
  <si>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</si>
  <si>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</si>
  <si>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</si>
  <si>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</si>
  <si>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</si>
  <si>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</si>
  <si>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</si>
  <si>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</si>
  <si>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</si>
  <si>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</si>
  <si>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</si>
  <si>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</si>
  <si>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</si>
  <si>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</si>
  <si>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</si>
  <si>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</si>
  <si>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</si>
  <si>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</si>
  <si>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</si>
  <si>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</si>
  <si>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</si>
  <si>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</si>
  <si>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</si>
  <si>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</si>
  <si>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</si>
  <si>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</si>
  <si>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</si>
  <si>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</si>
  <si>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</si>
  <si>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</si>
  <si>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</si>
  <si>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</si>
  <si>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</si>
  <si>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</si>
  <si>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</si>
  <si>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</si>
  <si>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</si>
  <si>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</si>
  <si>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</si>
  <si>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</si>
  <si>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</si>
  <si>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</si>
  <si>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</si>
  <si>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</si>
  <si>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</si>
  <si>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</si>
  <si>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</si>
  <si>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</si>
  <si>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</si>
  <si>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</si>
  <si>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</si>
  <si>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</si>
  <si>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</si>
  <si>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</si>
  <si>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</si>
  <si>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</si>
  <si>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</si>
  <si>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</si>
  <si>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</si>
  <si>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</si>
  <si>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</si>
  <si>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</si>
  <si>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</si>
  <si>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</si>
  <si>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</si>
  <si>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</si>
  <si>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</si>
  <si>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</si>
  <si>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</si>
  <si>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</si>
  <si>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</si>
  <si>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</si>
  <si>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</si>
  <si>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</si>
  <si>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</si>
  <si>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</si>
  <si>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</si>
  <si>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</si>
  <si>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</si>
  <si>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</si>
  <si>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</si>
  <si>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</si>
  <si>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</si>
  <si>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</si>
  <si>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</si>
  <si>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</si>
  <si>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</si>
  <si>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</si>
  <si>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</si>
  <si>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</si>
  <si>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</si>
  <si>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</si>
  <si>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</si>
  <si>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</si>
  <si>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</si>
  <si>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</si>
  <si>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</si>
  <si>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</si>
  <si>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</si>
  <si>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</si>
  <si>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</si>
  <si>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</si>
  <si>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</si>
  <si>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</si>
  <si>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</si>
  <si>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</si>
  <si>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</si>
  <si>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</si>
  <si>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</si>
  <si>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</si>
  <si>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</si>
  <si>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</si>
  <si>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</si>
  <si>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</si>
  <si>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</si>
  <si>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</si>
  <si>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</si>
  <si>
    <t>ticker</t>
  </si>
  <si>
    <t>2017 Return</t>
  </si>
  <si>
    <t>2017 relative Value</t>
  </si>
  <si>
    <t>2018 Return</t>
  </si>
  <si>
    <t xml:space="preserve">2018 relative Value </t>
  </si>
  <si>
    <t>2 year return</t>
  </si>
  <si>
    <t>Two-year performance (2017-2018)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</si>
</sst>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3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4" borderId="0" xfId="0" applyFill="1"/>
    <xf numFmtId="0" fontId="0" fillId="3" borderId="0" xfId="0" applyFill="1"/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0" xfId="0" applyAlignment="1">
      <alignment wrapText="1"/>
    </xf>
    <xf numFmtId="9" fontId="0" fillId="0" borderId="0" xfId="1" applyFont="1"/>
    <xf numFmtId="0" fontId="4" fillId="0" borderId="2" xfId="0" applyFont="1" applyBorder="1" applyAlignment="1">
      <alignment wrapText="1"/>
    </xf>
    <xf numFmtId="9" fontId="0" fillId="5" borderId="0" xfId="1" applyFont="1" applyFill="1"/>
    <xf numFmtId="9" fontId="0" fillId="6" borderId="0" xfId="1" applyFont="1" applyFill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393700</xdr:colOff>
          <xdr:row>9</xdr:row>
          <xdr:rowOff>63500</xdr:rowOff>
        </xdr:from>
        <xdr:to>
          <xdr:col>2</xdr:col>
          <xdr:colOff>749300</xdr:colOff>
          <xdr:row>11</xdr:row>
          <xdr:rowOff>63500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482600</xdr:colOff>
          <xdr:row>14</xdr:row>
          <xdr:rowOff>38100</xdr:rowOff>
        </xdr:from>
        <xdr:to>
          <xdr:col>2</xdr:col>
          <xdr:colOff>838200</xdr:colOff>
          <xdr:row>16</xdr:row>
          <xdr:rowOff>38100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6</xdr:row>
          <xdr:rowOff>50800</xdr:rowOff>
        </xdr:from>
        <xdr:to>
          <xdr:col>5</xdr:col>
          <xdr:colOff>711200</xdr:colOff>
          <xdr:row>8</xdr:row>
          <xdr:rowOff>50800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2</xdr:row>
          <xdr:rowOff>177800</xdr:rowOff>
        </xdr:from>
        <xdr:to>
          <xdr:col>5</xdr:col>
          <xdr:colOff>711200</xdr:colOff>
          <xdr:row>4</xdr:row>
          <xdr:rowOff>177800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</xdr:colOff>
          <xdr:row>10</xdr:row>
          <xdr:rowOff>114300</xdr:rowOff>
        </xdr:from>
        <xdr:to>
          <xdr:col>5</xdr:col>
          <xdr:colOff>749300</xdr:colOff>
          <xdr:row>12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Format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14</xdr:row>
          <xdr:rowOff>139700</xdr:rowOff>
        </xdr:from>
        <xdr:to>
          <xdr:col>5</xdr:col>
          <xdr:colOff>736600</xdr:colOff>
          <xdr:row>20</xdr:row>
          <xdr:rowOff>38100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Pick a year to evaluate all stocks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C1" sqref="C1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EFC79-E6A0-4643-ADEC-152A15E1A48D}">
  <sheetPr codeName="Sheet3"/>
  <dimension ref="A1:C4"/>
  <sheetViews>
    <sheetView workbookViewId="0">
      <selection activeCell="E18" sqref="E18"/>
    </sheetView>
  </sheetViews>
  <sheetFormatPr baseColWidth="10" defaultRowHeight="15" x14ac:dyDescent="0.2"/>
  <cols>
    <col min="1" max="1" width="14.5" bestFit="1" customWidth="1"/>
    <col min="2" max="2" width="15.33203125" bestFit="1" customWidth="1"/>
    <col min="3" max="3" width="12" customWidth="1"/>
  </cols>
  <sheetData>
    <row r="1" spans="1:3" x14ac:dyDescent="0.2">
      <c r="A1" t="s">
        <v>525</v>
      </c>
    </row>
    <row r="3" spans="1:3" x14ac:dyDescent="0.2">
      <c r="A3" t="s">
        <v>522</v>
      </c>
      <c r="B3" t="s">
        <v>523</v>
      </c>
      <c r="C3" t="s">
        <v>524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QAnalysis">
                <anchor moveWithCells="1" sizeWithCells="1">
                  <from>
                    <xdr:col>1</xdr:col>
                    <xdr:colOff>393700</xdr:colOff>
                    <xdr:row>9</xdr:row>
                    <xdr:rowOff>63500</xdr:rowOff>
                  </from>
                  <to>
                    <xdr:col>2</xdr:col>
                    <xdr:colOff>749300</xdr:colOff>
                    <xdr:row>11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Worksheet">
                <anchor moveWithCells="1" sizeWithCells="1">
                  <from>
                    <xdr:col>1</xdr:col>
                    <xdr:colOff>482600</xdr:colOff>
                    <xdr:row>14</xdr:row>
                    <xdr:rowOff>38100</xdr:rowOff>
                  </from>
                  <to>
                    <xdr:col>2</xdr:col>
                    <xdr:colOff>838200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51FB3-8A58-B640-9455-605BF144867C}">
  <sheetPr codeName="Sheet4"/>
  <dimension ref="A1:C15"/>
  <sheetViews>
    <sheetView zoomScale="150" zoomScaleNormal="150" workbookViewId="0">
      <selection activeCell="B23" sqref="B23"/>
    </sheetView>
  </sheetViews>
  <sheetFormatPr baseColWidth="10" defaultRowHeight="15" x14ac:dyDescent="0.2"/>
  <cols>
    <col min="1" max="1" width="13.6640625" bestFit="1" customWidth="1"/>
    <col min="2" max="2" width="15.83203125" bestFit="1" customWidth="1"/>
    <col min="3" max="3" width="8.5" bestFit="1" customWidth="1"/>
  </cols>
  <sheetData>
    <row r="1" spans="1:3" x14ac:dyDescent="0.2">
      <c r="A1" t="s">
        <v>526</v>
      </c>
    </row>
    <row r="3" spans="1:3" x14ac:dyDescent="0.2">
      <c r="A3" s="4" t="s">
        <v>0</v>
      </c>
      <c r="B3" s="4" t="s">
        <v>523</v>
      </c>
      <c r="C3" s="4" t="s">
        <v>524</v>
      </c>
    </row>
    <row r="4" spans="1:3" x14ac:dyDescent="0.2">
      <c r="A4" t="s">
        <v>8</v>
      </c>
      <c r="B4" s="5">
        <v>83079900</v>
      </c>
      <c r="C4" s="6">
        <v>-7.2847634553909302E-2</v>
      </c>
    </row>
    <row r="5" spans="1:3" x14ac:dyDescent="0.2">
      <c r="A5" t="s">
        <v>9</v>
      </c>
      <c r="B5" s="5">
        <v>200879900</v>
      </c>
      <c r="C5" s="6">
        <v>-0.16336052119731903</v>
      </c>
    </row>
    <row r="6" spans="1:3" x14ac:dyDescent="0.2">
      <c r="A6" t="s">
        <v>10</v>
      </c>
      <c r="B6" s="5">
        <v>107873900</v>
      </c>
      <c r="C6" s="6">
        <v>-0.62601888179779053</v>
      </c>
    </row>
    <row r="7" spans="1:3" x14ac:dyDescent="0.2">
      <c r="A7" t="s">
        <v>11</v>
      </c>
      <c r="B7" s="5">
        <v>607473500</v>
      </c>
      <c r="C7" s="7">
        <v>0.81923085451126099</v>
      </c>
    </row>
    <row r="8" spans="1:3" x14ac:dyDescent="0.2">
      <c r="A8" t="s">
        <v>12</v>
      </c>
      <c r="B8" s="5">
        <v>478113900</v>
      </c>
      <c r="C8" s="6">
        <v>-0.39713191986083984</v>
      </c>
    </row>
    <row r="9" spans="1:3" x14ac:dyDescent="0.2">
      <c r="A9" t="s">
        <v>13</v>
      </c>
      <c r="B9" s="5">
        <v>104340600</v>
      </c>
      <c r="C9" s="6">
        <v>-0.20658062398433685</v>
      </c>
    </row>
    <row r="10" spans="1:3" x14ac:dyDescent="0.2">
      <c r="A10" t="s">
        <v>14</v>
      </c>
      <c r="B10" s="5">
        <v>158309000</v>
      </c>
      <c r="C10" s="6">
        <v>-0.6053471565246582</v>
      </c>
    </row>
    <row r="11" spans="1:3" x14ac:dyDescent="0.2">
      <c r="A11" t="s">
        <v>15</v>
      </c>
      <c r="B11" s="5">
        <v>502757100</v>
      </c>
      <c r="C11" s="7">
        <v>0.83952707052230835</v>
      </c>
    </row>
    <row r="12" spans="1:3" x14ac:dyDescent="0.2">
      <c r="A12" t="s">
        <v>16</v>
      </c>
      <c r="B12" s="5">
        <v>237212300</v>
      </c>
      <c r="C12" s="6">
        <v>-7.7529586851596832E-2</v>
      </c>
    </row>
    <row r="13" spans="1:3" x14ac:dyDescent="0.2">
      <c r="A13" t="s">
        <v>17</v>
      </c>
      <c r="B13" s="5">
        <v>538024300</v>
      </c>
      <c r="C13" s="6">
        <v>-0.44593092799186707</v>
      </c>
    </row>
    <row r="14" spans="1:3" x14ac:dyDescent="0.2">
      <c r="A14" t="s">
        <v>18</v>
      </c>
      <c r="B14" s="5">
        <v>151434700</v>
      </c>
      <c r="C14" s="6">
        <v>-4.9957673996686935E-2</v>
      </c>
    </row>
    <row r="15" spans="1:3" x14ac:dyDescent="0.2">
      <c r="A15" t="s">
        <v>19</v>
      </c>
      <c r="B15" s="5">
        <v>136539100</v>
      </c>
      <c r="C15" s="6">
        <v>-3.5443063825368881E-2</v>
      </c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12700</xdr:colOff>
                    <xdr:row>6</xdr:row>
                    <xdr:rowOff>50800</xdr:rowOff>
                  </from>
                  <to>
                    <xdr:col>5</xdr:col>
                    <xdr:colOff>711200</xdr:colOff>
                    <xdr:row>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12700</xdr:colOff>
                    <xdr:row>2</xdr:row>
                    <xdr:rowOff>177800</xdr:rowOff>
                  </from>
                  <to>
                    <xdr:col>5</xdr:col>
                    <xdr:colOff>711200</xdr:colOff>
                    <xdr:row>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formatAllStocksAnalysisTable">
                <anchor moveWithCells="1" sizeWithCells="1">
                  <from>
                    <xdr:col>4</xdr:col>
                    <xdr:colOff>50800</xdr:colOff>
                    <xdr:row>10</xdr:row>
                    <xdr:rowOff>114300</xdr:rowOff>
                  </from>
                  <to>
                    <xdr:col>5</xdr:col>
                    <xdr:colOff>749300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YearValueAnalysis">
                <anchor moveWithCells="1" sizeWithCells="1">
                  <from>
                    <xdr:col>4</xdr:col>
                    <xdr:colOff>38100</xdr:colOff>
                    <xdr:row>14</xdr:row>
                    <xdr:rowOff>139700</xdr:rowOff>
                  </from>
                  <to>
                    <xdr:col>5</xdr:col>
                    <xdr:colOff>736600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6A8C3-315C-C44D-86B1-74F7F016FD5C}">
  <sheetPr codeName="Sheet5"/>
  <dimension ref="A1:H8"/>
  <sheetViews>
    <sheetView workbookViewId="0">
      <selection activeCell="F5" sqref="F5"/>
    </sheetView>
  </sheetViews>
  <sheetFormatPr baseColWidth="10" defaultRowHeight="15" x14ac:dyDescent="0.2"/>
  <sheetData>
    <row r="1" spans="1:8" x14ac:dyDescent="0.2">
      <c r="A1" s="3"/>
      <c r="B1" s="2"/>
      <c r="C1" s="3"/>
      <c r="D1" s="2"/>
      <c r="E1" s="3"/>
      <c r="F1" s="2"/>
      <c r="G1" s="3"/>
      <c r="H1" s="2"/>
    </row>
    <row r="2" spans="1:8" x14ac:dyDescent="0.2">
      <c r="A2" s="2"/>
      <c r="B2" s="3"/>
      <c r="C2" s="2"/>
      <c r="D2" s="3"/>
      <c r="E2" s="2"/>
      <c r="F2" s="3"/>
      <c r="G2" s="2"/>
      <c r="H2" s="3"/>
    </row>
    <row r="3" spans="1:8" x14ac:dyDescent="0.2">
      <c r="A3" s="3"/>
      <c r="B3" s="2"/>
      <c r="C3" s="3"/>
      <c r="D3" s="2"/>
      <c r="E3" s="3"/>
      <c r="F3" s="2"/>
      <c r="G3" s="3"/>
      <c r="H3" s="2"/>
    </row>
    <row r="4" spans="1:8" x14ac:dyDescent="0.2">
      <c r="A4" s="2"/>
      <c r="B4" s="3"/>
      <c r="C4" s="2"/>
      <c r="D4" s="3"/>
      <c r="E4" s="2"/>
      <c r="F4" s="3"/>
      <c r="G4" s="2"/>
      <c r="H4" s="3"/>
    </row>
    <row r="5" spans="1:8" x14ac:dyDescent="0.2">
      <c r="A5" s="3"/>
      <c r="B5" s="2"/>
      <c r="C5" s="3"/>
      <c r="D5" s="2"/>
      <c r="E5" s="3"/>
      <c r="F5" s="2"/>
      <c r="G5" s="3"/>
      <c r="H5" s="2"/>
    </row>
    <row r="6" spans="1:8" x14ac:dyDescent="0.2">
      <c r="A6" s="2"/>
      <c r="B6" s="3"/>
      <c r="C6" s="2"/>
      <c r="D6" s="3"/>
      <c r="E6" s="2"/>
      <c r="F6" s="3"/>
      <c r="G6" s="2"/>
      <c r="H6" s="3"/>
    </row>
    <row r="7" spans="1:8" x14ac:dyDescent="0.2">
      <c r="A7" s="3"/>
      <c r="B7" s="2"/>
      <c r="C7" s="3"/>
      <c r="D7" s="2"/>
      <c r="E7" s="3"/>
      <c r="F7" s="2"/>
      <c r="G7" s="3"/>
      <c r="H7" s="2"/>
    </row>
    <row r="8" spans="1:8" x14ac:dyDescent="0.2">
      <c r="A8" s="2"/>
      <c r="B8" s="3"/>
      <c r="C8" s="2"/>
      <c r="D8" s="3"/>
      <c r="E8" s="2"/>
      <c r="F8" s="3"/>
      <c r="G8" s="2"/>
      <c r="H8" s="3"/>
    </row>
  </sheetData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52A98-2677-564B-ADD6-A7C4BB1ED797}">
  <sheetPr codeName="Sheet6"/>
  <dimension ref="A1:F28"/>
  <sheetViews>
    <sheetView tabSelected="1" workbookViewId="0">
      <selection activeCell="K33" sqref="K33"/>
    </sheetView>
  </sheetViews>
  <sheetFormatPr baseColWidth="10" defaultRowHeight="15" x14ac:dyDescent="0.2"/>
  <cols>
    <col min="3" max="3" width="12.83203125" customWidth="1"/>
  </cols>
  <sheetData>
    <row r="1" spans="1:6" ht="48" x14ac:dyDescent="0.2">
      <c r="A1" s="8" t="s">
        <v>527</v>
      </c>
      <c r="B1" s="8" t="s">
        <v>528</v>
      </c>
      <c r="C1" s="8" t="s">
        <v>529</v>
      </c>
      <c r="D1" s="8" t="s">
        <v>530</v>
      </c>
      <c r="E1" s="8" t="s">
        <v>531</v>
      </c>
      <c r="F1" s="8" t="s">
        <v>532</v>
      </c>
    </row>
    <row r="2" spans="1:6" x14ac:dyDescent="0.2">
      <c r="A2" t="s">
        <v>8</v>
      </c>
      <c r="B2">
        <v>8.9368253946304321E-2</v>
      </c>
      <c r="C2" s="9">
        <f>1*(1+B2)</f>
        <v>1.0893682539463043</v>
      </c>
      <c r="D2">
        <v>-7.2847634553909302E-2</v>
      </c>
      <c r="E2">
        <f>C2*(1+D2)</f>
        <v>1.0100103534881937</v>
      </c>
      <c r="F2" s="9">
        <f t="shared" ref="F2:F6" si="0">E2-1</f>
        <v>1.001035348819368E-2</v>
      </c>
    </row>
    <row r="3" spans="1:6" x14ac:dyDescent="0.2">
      <c r="A3" t="s">
        <v>9</v>
      </c>
      <c r="B3">
        <v>0.33070248365402222</v>
      </c>
      <c r="C3" s="9">
        <f t="shared" ref="C3:C13" si="1">1*(1+B3)</f>
        <v>1.3307024836540222</v>
      </c>
      <c r="D3">
        <v>-0.16336052119731903</v>
      </c>
      <c r="E3">
        <f t="shared" ref="E3:E13" si="2">C3*(1+D3)</f>
        <v>1.1133182323657342</v>
      </c>
      <c r="F3" s="9">
        <f t="shared" si="0"/>
        <v>0.11331823236573424</v>
      </c>
    </row>
    <row r="4" spans="1:6" x14ac:dyDescent="0.2">
      <c r="A4" t="s">
        <v>10</v>
      </c>
      <c r="B4">
        <v>1.9944583177566528</v>
      </c>
      <c r="C4" s="9">
        <f t="shared" si="1"/>
        <v>2.9944583177566528</v>
      </c>
      <c r="D4">
        <v>-0.62601888179779053</v>
      </c>
      <c r="E4">
        <f t="shared" si="2"/>
        <v>1.1198708700845401</v>
      </c>
      <c r="F4" s="9">
        <f t="shared" si="0"/>
        <v>0.11987087008454012</v>
      </c>
    </row>
    <row r="5" spans="1:6" x14ac:dyDescent="0.2">
      <c r="A5" t="s">
        <v>11</v>
      </c>
      <c r="B5">
        <v>1.2952382564544678</v>
      </c>
      <c r="C5" s="9">
        <f t="shared" si="1"/>
        <v>2.2952382564544678</v>
      </c>
      <c r="D5">
        <v>0.81923085451126099</v>
      </c>
      <c r="E5">
        <f t="shared" si="2"/>
        <v>4.1755682545965982</v>
      </c>
      <c r="F5" s="9">
        <f t="shared" si="0"/>
        <v>3.1755682545965982</v>
      </c>
    </row>
    <row r="6" spans="1:6" x14ac:dyDescent="0.2">
      <c r="A6" t="s">
        <v>12</v>
      </c>
      <c r="B6">
        <v>1.0131185054779053</v>
      </c>
      <c r="C6" s="9">
        <f t="shared" si="1"/>
        <v>2.0131185054779053</v>
      </c>
      <c r="D6">
        <v>-0.39713191986083984</v>
      </c>
      <c r="E6">
        <f t="shared" si="2"/>
        <v>1.2136448884900801</v>
      </c>
      <c r="F6" s="9">
        <f t="shared" si="0"/>
        <v>0.21364488849008012</v>
      </c>
    </row>
    <row r="7" spans="1:6" x14ac:dyDescent="0.2">
      <c r="A7" t="s">
        <v>13</v>
      </c>
      <c r="B7">
        <v>0.2583681046962738</v>
      </c>
      <c r="C7" s="9">
        <f t="shared" si="1"/>
        <v>1.2583681046962738</v>
      </c>
      <c r="D7">
        <v>-0.20658062398433685</v>
      </c>
      <c r="E7">
        <f t="shared" si="2"/>
        <v>0.99841363642613024</v>
      </c>
      <c r="F7" s="9">
        <f>E7-1</f>
        <v>-1.5863635738697646E-3</v>
      </c>
    </row>
    <row r="8" spans="1:6" x14ac:dyDescent="0.2">
      <c r="A8" t="s">
        <v>14</v>
      </c>
      <c r="B8">
        <v>0.53870755434036255</v>
      </c>
      <c r="C8" s="9">
        <f t="shared" si="1"/>
        <v>1.5387075543403625</v>
      </c>
      <c r="D8">
        <v>-0.6053471565246582</v>
      </c>
      <c r="E8">
        <f t="shared" si="2"/>
        <v>0.60725531159741308</v>
      </c>
      <c r="F8" s="9">
        <f t="shared" ref="F8:F13" si="3">E8-1</f>
        <v>-0.39274468840258692</v>
      </c>
    </row>
    <row r="9" spans="1:6" x14ac:dyDescent="0.2">
      <c r="A9" t="s">
        <v>15</v>
      </c>
      <c r="B9">
        <v>5.5456161499023438E-2</v>
      </c>
      <c r="C9" s="9">
        <f t="shared" si="1"/>
        <v>1.0554561614990234</v>
      </c>
      <c r="D9">
        <v>0.83952707052230835</v>
      </c>
      <c r="E9">
        <f t="shared" si="2"/>
        <v>1.941540180827019</v>
      </c>
      <c r="F9" s="9">
        <f t="shared" si="3"/>
        <v>0.94154018082701896</v>
      </c>
    </row>
    <row r="10" spans="1:6" x14ac:dyDescent="0.2">
      <c r="A10" t="s">
        <v>16</v>
      </c>
      <c r="B10">
        <v>1.8446969985961914</v>
      </c>
      <c r="C10" s="9">
        <f t="shared" si="1"/>
        <v>2.8446969985961914</v>
      </c>
      <c r="D10">
        <v>-7.7529586851596832E-2</v>
      </c>
      <c r="E10">
        <f t="shared" si="2"/>
        <v>2.6241488155770512</v>
      </c>
      <c r="F10" s="9">
        <f t="shared" si="3"/>
        <v>1.6241488155770512</v>
      </c>
    </row>
    <row r="11" spans="1:6" x14ac:dyDescent="0.2">
      <c r="A11" t="s">
        <v>17</v>
      </c>
      <c r="B11">
        <v>0.23065699636936188</v>
      </c>
      <c r="C11" s="9">
        <f t="shared" si="1"/>
        <v>1.2306569963693619</v>
      </c>
      <c r="D11">
        <v>-0.44593092799186707</v>
      </c>
      <c r="E11">
        <f t="shared" si="2"/>
        <v>0.68186897993868856</v>
      </c>
      <c r="F11" s="9">
        <f t="shared" si="3"/>
        <v>-0.31813102006131144</v>
      </c>
    </row>
    <row r="12" spans="1:6" x14ac:dyDescent="0.2">
      <c r="A12" t="s">
        <v>18</v>
      </c>
      <c r="B12">
        <v>-7.2148971259593964E-2</v>
      </c>
      <c r="C12" s="9">
        <f t="shared" si="1"/>
        <v>0.92785102874040604</v>
      </c>
      <c r="D12">
        <v>-4.9957673996686935E-2</v>
      </c>
      <c r="E12">
        <f t="shared" si="2"/>
        <v>0.8814977495291022</v>
      </c>
      <c r="F12" s="9">
        <f t="shared" si="3"/>
        <v>-0.1185022504708978</v>
      </c>
    </row>
    <row r="13" spans="1:6" x14ac:dyDescent="0.2">
      <c r="A13" t="s">
        <v>19</v>
      </c>
      <c r="B13">
        <v>0.50000005960464478</v>
      </c>
      <c r="C13" s="9">
        <f t="shared" si="1"/>
        <v>1.5000000596046448</v>
      </c>
      <c r="D13">
        <v>-3.5443063825368881E-2</v>
      </c>
      <c r="E13">
        <f t="shared" si="2"/>
        <v>1.4468354617540202</v>
      </c>
      <c r="F13" s="9">
        <f t="shared" si="3"/>
        <v>0.44683546175402022</v>
      </c>
    </row>
    <row r="16" spans="1:6" ht="51" x14ac:dyDescent="0.2">
      <c r="B16" s="10" t="s">
        <v>0</v>
      </c>
      <c r="C16" s="10" t="s">
        <v>533</v>
      </c>
    </row>
    <row r="17" spans="2:3" x14ac:dyDescent="0.2">
      <c r="B17" t="s">
        <v>11</v>
      </c>
      <c r="C17" s="11">
        <v>3.1755682545965982</v>
      </c>
    </row>
    <row r="18" spans="2:3" x14ac:dyDescent="0.2">
      <c r="B18" t="s">
        <v>16</v>
      </c>
      <c r="C18" s="11">
        <v>1.6241488155770512</v>
      </c>
    </row>
    <row r="19" spans="2:3" x14ac:dyDescent="0.2">
      <c r="B19" t="s">
        <v>15</v>
      </c>
      <c r="C19" s="11">
        <v>0.94154018082701896</v>
      </c>
    </row>
    <row r="20" spans="2:3" x14ac:dyDescent="0.2">
      <c r="B20" t="s">
        <v>19</v>
      </c>
      <c r="C20" s="9">
        <v>0.44683546175402022</v>
      </c>
    </row>
    <row r="21" spans="2:3" x14ac:dyDescent="0.2">
      <c r="B21" t="s">
        <v>12</v>
      </c>
      <c r="C21" s="11">
        <v>0.21364488849008012</v>
      </c>
    </row>
    <row r="22" spans="2:3" x14ac:dyDescent="0.2">
      <c r="B22" t="s">
        <v>10</v>
      </c>
      <c r="C22" s="11">
        <v>0.11987087008454012</v>
      </c>
    </row>
    <row r="23" spans="2:3" x14ac:dyDescent="0.2">
      <c r="B23" t="s">
        <v>9</v>
      </c>
      <c r="C23" s="11">
        <v>0.11331823236573424</v>
      </c>
    </row>
    <row r="24" spans="2:3" x14ac:dyDescent="0.2">
      <c r="B24" t="s">
        <v>8</v>
      </c>
      <c r="C24" s="12">
        <v>1.001035348819368E-2</v>
      </c>
    </row>
    <row r="25" spans="2:3" x14ac:dyDescent="0.2">
      <c r="B25" t="s">
        <v>13</v>
      </c>
      <c r="C25" s="12">
        <v>-1.5863635738696535E-3</v>
      </c>
    </row>
    <row r="26" spans="2:3" x14ac:dyDescent="0.2">
      <c r="B26" t="s">
        <v>18</v>
      </c>
      <c r="C26" s="9">
        <v>-0.11850225047089769</v>
      </c>
    </row>
    <row r="27" spans="2:3" x14ac:dyDescent="0.2">
      <c r="B27" t="s">
        <v>17</v>
      </c>
      <c r="C27" s="9">
        <v>-0.31813102006131144</v>
      </c>
    </row>
    <row r="28" spans="2:3" x14ac:dyDescent="0.2">
      <c r="B28" t="s">
        <v>14</v>
      </c>
      <c r="C28" s="9">
        <v>-0.39274468840258692</v>
      </c>
    </row>
  </sheetData>
  <conditionalFormatting sqref="D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:C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Skill Drill</vt:lpstr>
      <vt:lpstr>2 year 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josh allen</cp:lastModifiedBy>
  <dcterms:created xsi:type="dcterms:W3CDTF">2019-05-02T20:23:55Z</dcterms:created>
  <dcterms:modified xsi:type="dcterms:W3CDTF">2021-03-25T19:08:59Z</dcterms:modified>
</cp:coreProperties>
</file>